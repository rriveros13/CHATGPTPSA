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icia Samaniego\Dropbox\Créditos\"/>
    </mc:Choice>
  </mc:AlternateContent>
  <xr:revisionPtr revIDLastSave="0" documentId="13_ncr:1_{CFE76025-2DCF-4D3F-B3E5-A75F6C365154}" xr6:coauthVersionLast="41" xr6:coauthVersionMax="41" xr10:uidLastSave="{00000000-0000-0000-0000-000000000000}"/>
  <bookViews>
    <workbookView xWindow="-108" yWindow="-108" windowWidth="19416" windowHeight="10416" xr2:uid="{00000000-000D-0000-FFFF-FFFF00000000}"/>
  </bookViews>
  <sheets>
    <sheet name="FORMULARIO" sheetId="11" r:id="rId1"/>
    <sheet name="MOTOR" sheetId="10" r:id="rId2"/>
    <sheet name="VARIABLES" sheetId="2" r:id="rId3"/>
    <sheet name="otro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4" l="1"/>
  <c r="B23" i="10"/>
  <c r="D23" i="10" s="1"/>
  <c r="B39" i="10"/>
  <c r="B37" i="10"/>
  <c r="B36" i="10"/>
  <c r="B35" i="10"/>
  <c r="B34" i="10"/>
  <c r="B33" i="10"/>
  <c r="B32" i="10"/>
  <c r="B31" i="10" s="1"/>
  <c r="B30" i="10"/>
  <c r="B29" i="10"/>
  <c r="B28" i="10"/>
  <c r="B27" i="10"/>
  <c r="B26" i="10"/>
  <c r="B18" i="10"/>
  <c r="B22" i="10"/>
  <c r="B21" i="10"/>
  <c r="B20" i="10"/>
  <c r="B19" i="10"/>
  <c r="B16" i="10"/>
  <c r="D16" i="10" s="1"/>
  <c r="B14" i="10"/>
  <c r="B13" i="10"/>
  <c r="D13" i="10" s="1"/>
  <c r="B12" i="10"/>
  <c r="B9" i="10"/>
  <c r="B8" i="10"/>
  <c r="B6" i="10"/>
  <c r="B2" i="10"/>
  <c r="D33" i="10" l="1"/>
  <c r="D18" i="10"/>
  <c r="D7" i="10"/>
  <c r="D6" i="10"/>
  <c r="B4" i="10"/>
  <c r="D39" i="10"/>
  <c r="C31" i="10"/>
  <c r="D31" i="10" s="1"/>
  <c r="D30" i="10"/>
  <c r="D29" i="10"/>
  <c r="D28" i="10"/>
  <c r="D27" i="10"/>
  <c r="D26" i="10"/>
  <c r="D17" i="10"/>
  <c r="B15" i="10"/>
  <c r="F15" i="10" s="1"/>
  <c r="D14" i="10"/>
  <c r="D12" i="10"/>
  <c r="D9" i="10"/>
  <c r="D8" i="10"/>
  <c r="D15" i="10" l="1"/>
  <c r="D4" i="10"/>
  <c r="D2" i="10" s="1"/>
  <c r="D41" i="10" l="1"/>
</calcChain>
</file>

<file path=xl/sharedStrings.xml><?xml version="1.0" encoding="utf-8"?>
<sst xmlns="http://schemas.openxmlformats.org/spreadsheetml/2006/main" count="265" uniqueCount="138">
  <si>
    <t>EDAD</t>
  </si>
  <si>
    <t>NO</t>
  </si>
  <si>
    <t>SI</t>
  </si>
  <si>
    <t>MAYOR O IGUAL A 18</t>
  </si>
  <si>
    <t>MENOR A 18</t>
  </si>
  <si>
    <t>MENOR A 80%</t>
  </si>
  <si>
    <t>MAYOR O IGUAL A 80%</t>
  </si>
  <si>
    <t>RECHAZO</t>
  </si>
  <si>
    <t>EDAD 2</t>
  </si>
  <si>
    <t>MAYOR O IGUAL A 21</t>
  </si>
  <si>
    <t>MENOR A 21</t>
  </si>
  <si>
    <t>TIPO DE ANALISIS</t>
  </si>
  <si>
    <t>CAPACIDAD DE PAGO</t>
  </si>
  <si>
    <t>IDENTIDAD</t>
  </si>
  <si>
    <t>VOLUNTAD DE PAGO</t>
  </si>
  <si>
    <t>FAJA</t>
  </si>
  <si>
    <t>ORDEN</t>
  </si>
  <si>
    <t>A, B, C, D, E, F, G, H.</t>
  </si>
  <si>
    <t>INFORMCONF</t>
  </si>
  <si>
    <t>SOLICITAR CODEUDOR</t>
  </si>
  <si>
    <t>ANALISIS</t>
  </si>
  <si>
    <t>-</t>
  </si>
  <si>
    <t>INFORME EXTERNO</t>
  </si>
  <si>
    <t>COSTO</t>
  </si>
  <si>
    <t>POLICIA NACIONAL</t>
  </si>
  <si>
    <t>DEMANDA ACTIVA</t>
  </si>
  <si>
    <t>SIGUE PROCESO</t>
  </si>
  <si>
    <t>INFOMERCIO / CRITERION</t>
  </si>
  <si>
    <t>TRAMO 0</t>
  </si>
  <si>
    <t>OTROS TRAMOS</t>
  </si>
  <si>
    <t>CUENTA REFINANCIADA</t>
  </si>
  <si>
    <t>JDE</t>
  </si>
  <si>
    <t>REFERENCIAS COMERCIALES</t>
  </si>
  <si>
    <t xml:space="preserve">SI </t>
  </si>
  <si>
    <t>LLAMADOS A CASAS COMERCIALES / BASE POSITIVA / BICSA</t>
  </si>
  <si>
    <t>VARIABLE</t>
  </si>
  <si>
    <t>SI ES RECURRENTE CON CUENTA CANCELADA</t>
  </si>
  <si>
    <t>SI ES RECURRENTE CON CUENTA ACTIVA</t>
  </si>
  <si>
    <t>CUOTAS VENCIDAS IMPAGAS MENOR O IGUAL A 60 DIAS</t>
  </si>
  <si>
    <t>PROMEDIO DE DIAS DE MORA MENOR O IGUAL A 90 DIAS</t>
  </si>
  <si>
    <t>ASALARIADO CON IPS O FUNCIONARIO PUBLICO</t>
  </si>
  <si>
    <t>ANTIGÜEDAD MAYOR O IGUAL A 3 MESES</t>
  </si>
  <si>
    <t>INFOMERCIO</t>
  </si>
  <si>
    <t>2 O MENOS INDEPENDIENTES MENORES</t>
  </si>
  <si>
    <t>PAGA ALQUILER?</t>
  </si>
  <si>
    <t>INGRESO MAYOR O IGUAL A SALARIO MINIMO</t>
  </si>
  <si>
    <t>LLAMADO AL LABORAL (NUM DEL LABORAL COMPROBABLE EN WEB)</t>
  </si>
  <si>
    <t>LLAMADO REFERENCIAS PERSONALES</t>
  </si>
  <si>
    <t>INFOMERCIO (VALIDADOR DE INDENTIDAD) EN LINEA CON EL VENDEDOR</t>
  </si>
  <si>
    <t>VALIDACION DE IDENTIDAD - preguntas de seguridad</t>
  </si>
  <si>
    <t>Qué es referencias comerciales, qué validamos como para dejar pasar? Tiene que ser cancelada? Qué valor tiene que tener?</t>
  </si>
  <si>
    <t>SALDO CERO / MENOR A 30 DIAS</t>
  </si>
  <si>
    <t>ASALARIADO (SIN IPS) O INDEPENDIENTE CON INGRESOS COMPROBABLES</t>
  </si>
  <si>
    <t>PENDIENTES DE DEFINICION</t>
  </si>
  <si>
    <t>LO QUE VA A ANALISIS</t>
  </si>
  <si>
    <t xml:space="preserve">4.4 /4.4  /5 / </t>
  </si>
  <si>
    <t>MONTO DE LA DEUDA ACTIVA EN CASO DE FAJA ALTA</t>
  </si>
  <si>
    <t>N, X.</t>
  </si>
  <si>
    <t>faja: endeudamiento superior al 25% del ingreso declarado = solicitar codeudor</t>
  </si>
  <si>
    <t>si el ingreso no es comprobable, entonces las referencias comerciales canceladas tienen que ser igual o superior al monto solicitado</t>
  </si>
  <si>
    <t>para re planteo</t>
  </si>
  <si>
    <t>CUENTA ACTIVA MENOR O IGUAL A 400.000 (MEDIR NIVEL DE ENDEUDAMIENTO ACTUAL)</t>
  </si>
  <si>
    <t>FAJA I, J, K, L, M Y MOROSIDAD O DEMANDA INFERIOR A GS 500,000</t>
  </si>
  <si>
    <t>DEMANDA ANTIGUA (SUPERIOR A 2 AÑOS)</t>
  </si>
  <si>
    <t>IPS</t>
  </si>
  <si>
    <t>VALIDACION DE INDENTIDAD</t>
  </si>
  <si>
    <t>TIPO DE INGRESO</t>
  </si>
  <si>
    <t>CON IPS</t>
  </si>
  <si>
    <t>SIN IPS</t>
  </si>
  <si>
    <t>ACTIVO</t>
  </si>
  <si>
    <t>MESES DE APORTE</t>
  </si>
  <si>
    <t>ESTADO</t>
  </si>
  <si>
    <t>INACTIVO</t>
  </si>
  <si>
    <t>SALARIO</t>
  </si>
  <si>
    <t>VALOR DE CUOTA</t>
  </si>
  <si>
    <t>F</t>
  </si>
  <si>
    <t>COMPROMISO DEL MES TOTAL</t>
  </si>
  <si>
    <t>M</t>
  </si>
  <si>
    <t>X</t>
  </si>
  <si>
    <t>A</t>
  </si>
  <si>
    <t>B</t>
  </si>
  <si>
    <t>N</t>
  </si>
  <si>
    <t>E</t>
  </si>
  <si>
    <t>SI ES RECURRENTE</t>
  </si>
  <si>
    <t>SALDO ACTUAL</t>
  </si>
  <si>
    <t>DIAS DE ATRASO</t>
  </si>
  <si>
    <t>COMPROMISO DEL MES CON OTRAS EMPRESAS</t>
  </si>
  <si>
    <t>C</t>
  </si>
  <si>
    <t>D</t>
  </si>
  <si>
    <t>G</t>
  </si>
  <si>
    <t>H</t>
  </si>
  <si>
    <t>I</t>
  </si>
  <si>
    <t>J</t>
  </si>
  <si>
    <t>K</t>
  </si>
  <si>
    <t>L</t>
  </si>
  <si>
    <t>INPUT</t>
  </si>
  <si>
    <t>OUTPUT</t>
  </si>
  <si>
    <t>MAXIMOS DIAS DE ATRASO DESDE EL VENCIMIENTO DE LA CUENTA ACTIVA</t>
  </si>
  <si>
    <t>CANTIDAD DE OPERACIONES CANCELADAS</t>
  </si>
  <si>
    <t>VALOR CUOTA DE OPERACIONES CANCELADAS</t>
  </si>
  <si>
    <t>PROCESOS PENALES O CIVILES</t>
  </si>
  <si>
    <t>PROCESOS PENALES O CIVILES ACTIVOS</t>
  </si>
  <si>
    <t>CONSOLIDADO CUOTAS ACTIVAS / COMPROMISO DEL MES CON OTRAS EMPRESAS</t>
  </si>
  <si>
    <t>CODEUDOR</t>
  </si>
  <si>
    <t>IPS / EMPLEADO PUBLICO</t>
  </si>
  <si>
    <t>BASE POSITIVA / BICSA</t>
  </si>
  <si>
    <t>INFORMCONF M90</t>
  </si>
  <si>
    <t>CUOTA NUMERO</t>
  </si>
  <si>
    <t>SI INACTIVO Y TERMINÓ DE PAGAR EN LOS ULTIMOS 12 MESES, NO MIRAR FAJA</t>
  </si>
  <si>
    <t>VENDEDOR DEBE CONSULTAR SOBRE CUENTAS ACTIVAS Y CANCELADAS</t>
  </si>
  <si>
    <t>BASE</t>
  </si>
  <si>
    <t>FECHA DE NACIMIENTO</t>
  </si>
  <si>
    <t>EDAD MIN</t>
  </si>
  <si>
    <t>EDAD MAX</t>
  </si>
  <si>
    <t>NUMERO DE CEDULA</t>
  </si>
  <si>
    <t>SIN IPS (O INACTIVO)</t>
  </si>
  <si>
    <t>PARAMETROS</t>
  </si>
  <si>
    <t>VARIABLES</t>
  </si>
  <si>
    <t>FECHA DE ULTIMO PAGO</t>
  </si>
  <si>
    <t>INFOMERCIO / BICSA</t>
  </si>
  <si>
    <t>DIAS DE ATRASO DESDE EL VENCIMIENTO DE LA CUENTA ACTIVA (ACTUAL)</t>
  </si>
  <si>
    <t>MAX DE 3 AÑOS QUE EL SISTEMA TRAIGA EL MOTIVO Y SI ES EXPOSICION AL PELIGRO ENTONCES CONTINUA PROCESO</t>
  </si>
  <si>
    <t>FUNCIONARIO PUBLICO</t>
  </si>
  <si>
    <t>CONTRIBUYENTE</t>
  </si>
  <si>
    <t>MENSAJES PARA EL VENDEDOR</t>
  </si>
  <si>
    <t>MENSAJES PARA EL ANALISTA</t>
  </si>
  <si>
    <t>RECHAZADO</t>
  </si>
  <si>
    <t>POSEE PROCESOS PENALES O CIVILES ACTIVOS</t>
  </si>
  <si>
    <t>SIN ANTIGÜEDAD LABORAL, VERIFICAR CONTINUIDAD LABORAL</t>
  </si>
  <si>
    <t>DIAS DE ATRASO ACTUAL DE LA CUENTA ACTIVA</t>
  </si>
  <si>
    <t>NIVEL DE ENDEUDAMIENTO SUPERIOR AL MAXIMO, VERIFICAR SI POSEE UN SOBRE SUELDO</t>
  </si>
  <si>
    <t>DEFINIR LOS MENSAJES PARA LOS ANALISTAS Y EN QUÉ CASOS LE CAERIA AL ANALISTA PARA MAYOR VERIFICACION</t>
  </si>
  <si>
    <t>VALOR DE CUOTA SOLICITADA</t>
  </si>
  <si>
    <t>FECHA DE CANCELACION DE LA ULTIMA OPERACION</t>
  </si>
  <si>
    <t>SALARIO GS.</t>
  </si>
  <si>
    <t>VALOR DE LA ULTIMA CUOTA CANCELADA</t>
  </si>
  <si>
    <t>ES RECURRENTE</t>
  </si>
  <si>
    <t>MOTOR DE DECISION DEL CREDITO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</si>
</sst>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 * #,##0_ ;_ * \-#,##0_ ;_ * &quot;-&quot;_ ;_ @_ 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7">
    <xf numFmtId="0" fontId="0" fillId="0" borderId="0" xfId="0"/>
    <xf numFmtId="0" fontId="2" fillId="0" borderId="0" xfId="0" applyFont="1"/>
    <xf numFmtId="0" fontId="2" fillId="2" borderId="1" xfId="0" applyFont="1" applyFill="1" applyBorder="1" applyAlignment="1">
      <alignment horizontal="center" vertical="center"/>
    </xf>
    <xf numFmtId="0" fontId="0" fillId="0" borderId="0" xfId="0" quotePrefix="1"/>
    <xf numFmtId="41" fontId="0" fillId="0" borderId="0" xfId="1" applyFont="1"/>
    <xf numFmtId="41" fontId="2" fillId="2" borderId="1" xfId="1" applyFont="1" applyFill="1" applyBorder="1" applyAlignment="1">
      <alignment horizontal="center" vertic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Font="1"/>
    <xf numFmtId="41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9" fontId="0" fillId="0" borderId="0" xfId="0" applyNumberFormat="1" applyAlignment="1">
      <alignment horizontal="center"/>
    </xf>
    <xf numFmtId="9" fontId="0" fillId="0" borderId="0" xfId="1" applyNumberFormat="1" applyFont="1" applyAlignment="1">
      <alignment horizont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/>
    </xf>
    <xf numFmtId="41" fontId="0" fillId="0" borderId="2" xfId="1" applyFont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9" fontId="0" fillId="0" borderId="2" xfId="1" applyNumberFormat="1" applyFont="1" applyBorder="1" applyAlignment="1">
      <alignment horizontal="center" vertical="center"/>
    </xf>
    <xf numFmtId="0" fontId="2" fillId="3" borderId="0" xfId="0" applyFont="1" applyFill="1"/>
    <xf numFmtId="41" fontId="2" fillId="3" borderId="0" xfId="1" applyFont="1" applyFill="1" applyAlignment="1">
      <alignment horizontal="center" vertical="center"/>
    </xf>
    <xf numFmtId="0" fontId="2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4" borderId="0" xfId="0" applyFill="1"/>
    <xf numFmtId="41" fontId="0" fillId="4" borderId="0" xfId="1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indent="1"/>
    </xf>
    <xf numFmtId="41" fontId="0" fillId="4" borderId="2" xfId="1" applyFont="1" applyFill="1" applyBorder="1" applyAlignment="1">
      <alignment horizontal="center" vertical="center"/>
    </xf>
    <xf numFmtId="41" fontId="2" fillId="0" borderId="0" xfId="1" applyFont="1" applyAlignment="1">
      <alignment vertical="center"/>
    </xf>
    <xf numFmtId="0" fontId="0" fillId="0" borderId="0" xfId="0" applyFill="1" applyAlignment="1">
      <alignment horizontal="left" indent="1"/>
    </xf>
    <xf numFmtId="41" fontId="0" fillId="0" borderId="0" xfId="1" applyFont="1" applyFill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9" fontId="0" fillId="0" borderId="0" xfId="2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4" fontId="0" fillId="0" borderId="0" xfId="1" applyNumberFormat="1" applyFont="1" applyBorder="1" applyAlignment="1">
      <alignment horizontal="center" vertical="center"/>
    </xf>
    <xf numFmtId="41" fontId="0" fillId="0" borderId="2" xfId="1" applyFont="1" applyBorder="1" applyAlignment="1">
      <alignment vertical="center"/>
    </xf>
    <xf numFmtId="41" fontId="0" fillId="0" borderId="2" xfId="1" applyFont="1" applyFill="1" applyBorder="1" applyAlignment="1">
      <alignment vertical="center"/>
    </xf>
    <xf numFmtId="0" fontId="0" fillId="0" borderId="0" xfId="0" applyAlignment="1"/>
    <xf numFmtId="0" fontId="3" fillId="0" borderId="0" xfId="0" applyFont="1" applyAlignment="1">
      <alignment horizontal="center" vertical="center"/>
    </xf>
    <xf numFmtId="41" fontId="0" fillId="4" borderId="2" xfId="1" applyNumberFormat="1" applyFont="1" applyFill="1" applyBorder="1" applyAlignment="1">
      <alignment horizontal="center" vertical="center"/>
    </xf>
    <xf numFmtId="14" fontId="0" fillId="0" borderId="2" xfId="0" applyNumberFormat="1" applyBorder="1" applyAlignment="1"/>
    <xf numFmtId="0" fontId="4" fillId="0" borderId="0" xfId="0" applyFont="1" applyAlignment="1">
      <alignment horizontal="center" vertical="center"/>
    </xf>
  </cellXfs>
  <cellStyles count="3">
    <cellStyle name="Millares [0]" xfId="1" builtinId="6"/>
    <cellStyle name="Normal" xfId="0" builtinId="0"/>
    <cellStyle name="Porcentaje" xfId="2" builtinId="5"/>
  </cellStyles>
  <dxfs count="2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theme="9"/>
        </patternFill>
      </fill>
    </dxf>
    <dxf>
      <font>
        <b/>
        <i val="0"/>
      </font>
      <numFmt numFmtId="0" formatCode="General"/>
      <fill>
        <patternFill>
          <bgColor theme="7"/>
        </patternFill>
      </fill>
    </dxf>
    <dxf>
      <font>
        <b/>
        <i val="0"/>
      </font>
      <fill>
        <patternFill>
          <bgColor theme="9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1014377</xdr:colOff>
      <xdr:row>25</xdr:row>
      <xdr:rowOff>154977</xdr:rowOff>
    </xdr:from>
    <xdr:to>
      <xdr:col>0</xdr:col>
      <xdr:colOff>2102948</xdr:colOff>
      <xdr:row>28</xdr:row>
      <xdr:rowOff>2577</xdr:rowOff>
    </xdr:to>
    <xdr:sp macro="[0]!MOTO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8A50F02-011C-419B-8282-7371341CAEAF}"/>
            </a:ext>
          </a:extLst>
        </xdr:cNvPr>
        <xdr:cNvSpPr/>
      </xdr:nvSpPr>
      <xdr:spPr>
        <a:xfrm>
          <a:off x="1014377" y="4867345"/>
          <a:ext cx="1088571" cy="389021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Y" sz="1600" b="1"/>
            <a:t>ANALIZAR</a:t>
          </a:r>
        </a:p>
      </xdr:txBody>
    </xdr:sp>
    <xdr:clientData/>
  </xdr:twoCellAnchor>
  <xdr:twoCellAnchor>
    <xdr:from>
      <xdr:col>0</xdr:col>
      <xdr:colOff>3378870</xdr:colOff>
      <xdr:row>25</xdr:row>
      <xdr:rowOff>140368</xdr:rowOff>
    </xdr:from>
    <xdr:to>
      <xdr:col>1</xdr:col>
      <xdr:colOff>517073</xdr:colOff>
      <xdr:row>27</xdr:row>
      <xdr:rowOff>168441</xdr:rowOff>
    </xdr:to>
    <xdr:sp macro="[0]!BORRAR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930C617E-8384-4F2F-860A-D1F3C31BBB7E}"/>
            </a:ext>
          </a:extLst>
        </xdr:cNvPr>
        <xdr:cNvSpPr/>
      </xdr:nvSpPr>
      <xdr:spPr>
        <a:xfrm>
          <a:off x="3378870" y="4852736"/>
          <a:ext cx="1690150" cy="389021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Y" sz="1600" b="1"/>
            <a:t>NUEVO ANALISIS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174F9-645F-4686-AEBD-25925191F082}">
  <sheetPr codeName="Hoja1"/>
  <dimension ref="A1:B30"/>
  <sheetViews>
    <sheetView tabSelected="1" view="pageLayout" zoomScale="99" zoomScaleNormal="100" zoomScalePageLayoutView="99" workbookViewId="0">
      <selection activeCell="A22" sqref="A22"/>
    </sheetView>
  </sheetViews>
  <sheetFormatPr baseColWidth="10" defaultRowHeight="14.4" x14ac:dyDescent="0.3"/>
  <cols>
    <col min="1" max="1" width="63.6640625" bestFit="1" customWidth="1"/>
    <col min="2" max="2" width="22.44140625" style="42" customWidth="1"/>
  </cols>
  <sheetData>
    <row r="1" spans="1:2" ht="30" customHeight="1" x14ac:dyDescent="0.3">
      <c r="A1" s="43" t="s">
        <v>137</v>
      </c>
      <c r="B1" s="43"/>
    </row>
    <row r="3" spans="1:2" x14ac:dyDescent="0.3">
      <c r="A3" t="s">
        <v>111</v>
      </c>
      <c r="B3" s="45"/>
    </row>
    <row r="4" spans="1:2" x14ac:dyDescent="0.3">
      <c r="A4" t="s">
        <v>101</v>
      </c>
      <c r="B4" s="40"/>
    </row>
    <row r="5" spans="1:2" x14ac:dyDescent="0.3">
      <c r="A5" t="s">
        <v>66</v>
      </c>
      <c r="B5" s="40"/>
    </row>
    <row r="6" spans="1:2" x14ac:dyDescent="0.3">
      <c r="A6" s="9" t="s">
        <v>134</v>
      </c>
      <c r="B6" s="40"/>
    </row>
    <row r="7" spans="1:2" x14ac:dyDescent="0.3">
      <c r="A7" t="s">
        <v>70</v>
      </c>
      <c r="B7" s="40"/>
    </row>
    <row r="9" spans="1:2" x14ac:dyDescent="0.3">
      <c r="A9" t="s">
        <v>86</v>
      </c>
      <c r="B9" s="40"/>
    </row>
    <row r="10" spans="1:2" x14ac:dyDescent="0.3">
      <c r="A10" t="s">
        <v>129</v>
      </c>
      <c r="B10" s="40"/>
    </row>
    <row r="11" spans="1:2" x14ac:dyDescent="0.3">
      <c r="A11" s="7" t="s">
        <v>97</v>
      </c>
      <c r="B11" s="40"/>
    </row>
    <row r="12" spans="1:2" x14ac:dyDescent="0.3">
      <c r="A12" t="s">
        <v>98</v>
      </c>
      <c r="B12" s="40"/>
    </row>
    <row r="13" spans="1:2" x14ac:dyDescent="0.3">
      <c r="A13" t="s">
        <v>135</v>
      </c>
      <c r="B13" s="40"/>
    </row>
    <row r="14" spans="1:2" x14ac:dyDescent="0.3">
      <c r="A14" t="s">
        <v>133</v>
      </c>
      <c r="B14" s="45"/>
    </row>
    <row r="16" spans="1:2" x14ac:dyDescent="0.3">
      <c r="A16" s="8" t="s">
        <v>136</v>
      </c>
      <c r="B16" s="40"/>
    </row>
    <row r="17" spans="1:2" x14ac:dyDescent="0.3">
      <c r="A17" s="34" t="s">
        <v>84</v>
      </c>
      <c r="B17" s="41"/>
    </row>
    <row r="18" spans="1:2" x14ac:dyDescent="0.3">
      <c r="A18" s="34" t="s">
        <v>85</v>
      </c>
      <c r="B18" s="41"/>
    </row>
    <row r="19" spans="1:2" x14ac:dyDescent="0.3">
      <c r="A19" s="34" t="s">
        <v>107</v>
      </c>
      <c r="B19" s="41"/>
    </row>
    <row r="20" spans="1:2" x14ac:dyDescent="0.3">
      <c r="A20" s="34" t="s">
        <v>118</v>
      </c>
      <c r="B20" s="41"/>
    </row>
    <row r="22" spans="1:2" x14ac:dyDescent="0.3">
      <c r="A22" t="s">
        <v>15</v>
      </c>
      <c r="B22" s="40"/>
    </row>
    <row r="24" spans="1:2" x14ac:dyDescent="0.3">
      <c r="A24" t="s">
        <v>132</v>
      </c>
      <c r="B24" s="40"/>
    </row>
    <row r="27" spans="1:2" x14ac:dyDescent="0.3">
      <c r="B27" s="12"/>
    </row>
    <row r="30" spans="1:2" ht="21" x14ac:dyDescent="0.3">
      <c r="A30" s="46"/>
      <c r="B30" s="46"/>
    </row>
  </sheetData>
  <mergeCells count="2">
    <mergeCell ref="A1:B1"/>
    <mergeCell ref="A30:B30"/>
  </mergeCells>
  <conditionalFormatting sqref="B27">
    <cfRule type="containsText" dxfId="3" priority="5" operator="containsText" text="CONDICIONADO">
      <formula>NOT(ISERROR(SEARCH("CONDICIONADO",B27)))</formula>
    </cfRule>
    <cfRule type="containsText" dxfId="2" priority="6" operator="containsText" text="APROBADO">
      <formula>NOT(ISERROR(SEARCH("APROBADO",B27)))</formula>
    </cfRule>
  </conditionalFormatting>
  <conditionalFormatting sqref="A30:B30">
    <cfRule type="containsText" dxfId="0" priority="2" operator="containsText" text="CONDICIONADO">
      <formula>NOT(ISERROR(SEARCH("CONDICIONADO",A30)))</formula>
    </cfRule>
    <cfRule type="containsText" dxfId="1" priority="1" operator="containsText" text="APROBADO">
      <formula>NOT(ISERROR(SEARCH("APROBADO",A30)))</formula>
    </cfRule>
  </conditionalFormatting>
  <dataValidations count="5">
    <dataValidation type="whole" allowBlank="1" showInputMessage="1" showErrorMessage="1" sqref="B24" xr:uid="{FF5944EA-91F8-42D1-AF50-1F3D0CA0F85E}">
      <formula1>0</formula1>
      <formula2>2000000</formula2>
    </dataValidation>
    <dataValidation errorStyle="warning" allowBlank="1" showInputMessage="1" showErrorMessage="1" errorTitle="Error" error="Formato de fecha inválido" promptTitle="Fecha" prompt="Introduzca el formato correspondiente DD/MM/AAAA" sqref="B3 B14" xr:uid="{16709E6D-23A4-49B1-B74E-BCEE604DDF83}"/>
    <dataValidation type="whole" allowBlank="1" showInputMessage="1" showErrorMessage="1" sqref="B6 B9:B10 B17" xr:uid="{5509A04B-AFF7-4898-A5FB-D019D7E88BD9}">
      <formula1>0</formula1>
      <formula2>100000000</formula2>
    </dataValidation>
    <dataValidation type="whole" allowBlank="1" showInputMessage="1" showErrorMessage="1" sqref="B7" xr:uid="{DC61C9C7-006F-4565-B0A9-67FA43AA2898}">
      <formula1>0</formula1>
      <formula2>800</formula2>
    </dataValidation>
    <dataValidation type="whole" allowBlank="1" showInputMessage="1" showErrorMessage="1" sqref="B11:B12 B18" xr:uid="{763CAA17-5A6F-4B30-BD9F-3C8BFFBD09A1}">
      <formula1>0</formula1>
      <formula2>3000</formula2>
    </dataValidation>
  </dataValidations>
  <pageMargins left="0.7" right="0.7" top="0.20238095238095238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C6E2D75-C20C-4DF4-9BFE-6C76C31CA3F5}">
          <x14:formula1>
            <xm:f>otros!$C$2:$C$3</xm:f>
          </x14:formula1>
          <xm:sqref>B4 B16</xm:sqref>
        </x14:dataValidation>
        <x14:dataValidation type="list" allowBlank="1" showInputMessage="1" showErrorMessage="1" xr:uid="{FCB6DE83-CA69-4C83-8EC6-17A40267DF43}">
          <x14:formula1>
            <xm:f>otros!$A$2:$A$5</xm:f>
          </x14:formula1>
          <xm:sqref>B5</xm:sqref>
        </x14:dataValidation>
        <x14:dataValidation type="list" allowBlank="1" showInputMessage="1" showErrorMessage="1" xr:uid="{11713D3D-D5EC-45CF-8706-5790E8192F9C}">
          <x14:formula1>
            <xm:f>otros!$A$11:$A$25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A4BB2-890C-4667-BACF-DB1870E0FB63}">
  <sheetPr codeName="Hoja4"/>
  <dimension ref="A1:H43"/>
  <sheetViews>
    <sheetView zoomScale="85" zoomScaleNormal="85" workbookViewId="0">
      <selection activeCell="D41" sqref="D41"/>
    </sheetView>
  </sheetViews>
  <sheetFormatPr baseColWidth="10" defaultRowHeight="14.4" x14ac:dyDescent="0.3"/>
  <cols>
    <col min="1" max="1" width="72.33203125" customWidth="1"/>
    <col min="2" max="2" width="22.5546875" style="19" bestFit="1" customWidth="1"/>
    <col min="3" max="3" width="12.77734375" style="12" bestFit="1" customWidth="1"/>
    <col min="4" max="4" width="84.77734375" style="12" customWidth="1"/>
    <col min="5" max="5" width="81.109375" style="12" bestFit="1" customWidth="1"/>
    <col min="7" max="7" width="23.6640625" bestFit="1" customWidth="1"/>
  </cols>
  <sheetData>
    <row r="1" spans="1:8" x14ac:dyDescent="0.3">
      <c r="A1" s="22" t="s">
        <v>117</v>
      </c>
      <c r="B1" s="23" t="s">
        <v>95</v>
      </c>
      <c r="C1" s="24" t="s">
        <v>116</v>
      </c>
      <c r="D1" s="25" t="s">
        <v>124</v>
      </c>
      <c r="E1" s="25" t="s">
        <v>125</v>
      </c>
      <c r="F1" s="25" t="s">
        <v>96</v>
      </c>
      <c r="G1" s="25" t="s">
        <v>110</v>
      </c>
    </row>
    <row r="2" spans="1:8" ht="28.8" x14ac:dyDescent="0.3">
      <c r="A2" t="s">
        <v>114</v>
      </c>
      <c r="B2" s="33">
        <f>FORMULARIO!B3</f>
        <v>0</v>
      </c>
      <c r="C2" s="11"/>
      <c r="D2" s="13" t="str">
        <f>IF(OR(ISBLANK(FORMULARIO!B3),ISBLANK(FORMULARIO!B4),ISBLANK(FORMULARIO!B5),ISBLANK(FORMULARIO!B6),ISBLANK(FORMULARIO!B7),ISBLANK(FORMULARIO!B9),ISBLANK(FORMULARIO!B10),ISBLANK(FORMULARIO!B11),ISBLANK(FORMULARIO!B12),ISBLANK(FORMULARIO!B13),ISBLANK(FORMULARIO!B14),ISBLANK(FORMULARIO!B16),ISBLANK(FORMULARIO!B17),ISBLANK(FORMULARIO!B18),ISBLANK(FORMULARIO!B19),ISBLANK(FORMULARIO!B20),ISBLANK(FORMULARIO!B22),ISBLANK(FORMULARIO!B24)),"Completar campos vacíos",IF(AND(D4="OK",D6="OK",D7="OK",D9="OK",B8="SIN IPS",D26="OK",D27="OK",D28="OK",D29="OK",D31="OK",D33="OK",D39="OK"),"APROBADO",IF(AND(D4="OK",D6="OK",D7="OK",D9="OK",B8&lt;&gt;"SIN IPS",D12="OK",D13="OK",D14="OK",D15="OK",D16="OK",D17="OK",D18="OK",D23="OK"),"APROBADO","CONDICIONADO")))</f>
        <v>Completar campos vacíos</v>
      </c>
      <c r="E2" s="38" t="s">
        <v>131</v>
      </c>
      <c r="F2" s="13"/>
      <c r="G2" s="13"/>
    </row>
    <row r="3" spans="1:8" x14ac:dyDescent="0.3">
      <c r="A3" t="s">
        <v>111</v>
      </c>
      <c r="B3" s="20">
        <v>31646</v>
      </c>
      <c r="C3" s="11"/>
      <c r="E3" s="13"/>
      <c r="F3" s="13"/>
      <c r="G3" s="13"/>
    </row>
    <row r="4" spans="1:8" x14ac:dyDescent="0.3">
      <c r="A4" t="s">
        <v>112</v>
      </c>
      <c r="B4" s="18">
        <f ca="1">(TODAY()-B3)/365</f>
        <v>33.084931506849315</v>
      </c>
      <c r="C4" s="12">
        <v>18</v>
      </c>
      <c r="D4" s="12" t="str">
        <f ca="1">IF(ISBLANK(B4),"completar",IF(AND(B4&gt;=C4,B4&lt;=C5),"OK","EDAD FUERA DE RANGO"))</f>
        <v>OK</v>
      </c>
      <c r="E4" s="12" t="s">
        <v>126</v>
      </c>
      <c r="F4" t="s">
        <v>7</v>
      </c>
      <c r="G4" t="s">
        <v>24</v>
      </c>
    </row>
    <row r="5" spans="1:8" x14ac:dyDescent="0.3">
      <c r="A5" t="s">
        <v>113</v>
      </c>
      <c r="B5" s="18"/>
      <c r="C5" s="12">
        <v>78</v>
      </c>
      <c r="F5" t="s">
        <v>103</v>
      </c>
      <c r="G5" t="s">
        <v>24</v>
      </c>
    </row>
    <row r="6" spans="1:8" x14ac:dyDescent="0.3">
      <c r="A6" t="s">
        <v>101</v>
      </c>
      <c r="B6" s="18">
        <f>FORMULARIO!B4</f>
        <v>0</v>
      </c>
      <c r="D6" s="12" t="str">
        <f>IF(ISBLANK(B6),"completar",IF(B6="NO","OK","ENVIADO A MESA DE ANALISIS"))</f>
        <v>ENVIADO A MESA DE ANALISIS</v>
      </c>
      <c r="E6" s="12" t="s">
        <v>127</v>
      </c>
      <c r="F6" t="s">
        <v>7</v>
      </c>
      <c r="G6" t="s">
        <v>42</v>
      </c>
      <c r="H6" t="s">
        <v>121</v>
      </c>
    </row>
    <row r="7" spans="1:8" x14ac:dyDescent="0.3">
      <c r="A7" t="s">
        <v>65</v>
      </c>
      <c r="B7" s="21">
        <v>0.8</v>
      </c>
      <c r="C7" s="14">
        <v>0.8</v>
      </c>
      <c r="D7" s="12" t="str">
        <f>IF(ISBLANK(B7),"completar",IF(B7&gt;=C7,"OK","IDENTIDAD NO VALIDA"))</f>
        <v>OK</v>
      </c>
      <c r="E7" s="12" t="s">
        <v>126</v>
      </c>
      <c r="F7" t="s">
        <v>7</v>
      </c>
      <c r="G7" t="s">
        <v>42</v>
      </c>
    </row>
    <row r="8" spans="1:8" x14ac:dyDescent="0.3">
      <c r="A8" t="s">
        <v>66</v>
      </c>
      <c r="B8" s="18">
        <f>FORMULARIO!B5</f>
        <v>0</v>
      </c>
      <c r="D8" s="12" t="str">
        <f>IF(ISBLANK(B8),"completar","OK")</f>
        <v>OK</v>
      </c>
      <c r="G8" t="s">
        <v>104</v>
      </c>
    </row>
    <row r="9" spans="1:8" x14ac:dyDescent="0.3">
      <c r="A9" t="s">
        <v>74</v>
      </c>
      <c r="B9" s="18">
        <f>FORMULARIO!B24</f>
        <v>0</v>
      </c>
      <c r="D9" s="12" t="str">
        <f>IF(ISBLANK(B9),"completar","OK")</f>
        <v>OK</v>
      </c>
      <c r="H9" t="s">
        <v>109</v>
      </c>
    </row>
    <row r="11" spans="1:8" x14ac:dyDescent="0.3">
      <c r="A11" s="1" t="s">
        <v>67</v>
      </c>
      <c r="F11" s="10"/>
    </row>
    <row r="12" spans="1:8" x14ac:dyDescent="0.3">
      <c r="A12" s="9" t="s">
        <v>73</v>
      </c>
      <c r="B12" s="18">
        <f>FORMULARIO!B6</f>
        <v>0</v>
      </c>
      <c r="D12" s="12" t="str">
        <f>IF(ISBLANK(B12),"completar","OK")</f>
        <v>OK</v>
      </c>
      <c r="G12" t="s">
        <v>119</v>
      </c>
    </row>
    <row r="13" spans="1:8" x14ac:dyDescent="0.3">
      <c r="A13" t="s">
        <v>70</v>
      </c>
      <c r="B13" s="18">
        <f>FORMULARIO!B7</f>
        <v>0</v>
      </c>
      <c r="C13" s="12">
        <v>3</v>
      </c>
      <c r="D13" s="12" t="str">
        <f>IF(ISBLANK(B13),"completar",IF(B13&gt;=C13,"OK","SIN ANTIGÜEDAD LABORAL, SOLICITAR CODEUDOR"))</f>
        <v>SIN ANTIGÜEDAD LABORAL, SOLICITAR CODEUDOR</v>
      </c>
      <c r="E13" s="12" t="s">
        <v>128</v>
      </c>
      <c r="F13" t="s">
        <v>103</v>
      </c>
      <c r="G13" t="s">
        <v>64</v>
      </c>
    </row>
    <row r="14" spans="1:8" x14ac:dyDescent="0.3">
      <c r="A14" t="s">
        <v>86</v>
      </c>
      <c r="B14" s="18">
        <f>FORMULARIO!B9</f>
        <v>0</v>
      </c>
      <c r="D14" s="12" t="str">
        <f>IF(ISBLANK(B14),"completar","OK")</f>
        <v>OK</v>
      </c>
      <c r="G14" t="s">
        <v>105</v>
      </c>
    </row>
    <row r="15" spans="1:8" x14ac:dyDescent="0.3">
      <c r="A15" t="s">
        <v>76</v>
      </c>
      <c r="B15" s="18">
        <f>B14+B9</f>
        <v>0</v>
      </c>
      <c r="C15" s="15">
        <v>0.6</v>
      </c>
      <c r="D15" s="12" t="str">
        <f>IF(ISBLANK(B15),"completar",IF(B15&gt;=(B12*C15),"NIVEL DE ENDEUDAMIENTO SUPERIOR AL MAXIMO, SOLICITAR CODEUDOR","OK"))</f>
        <v>NIVEL DE ENDEUDAMIENTO SUPERIOR AL MAXIMO, SOLICITAR CODEUDOR</v>
      </c>
      <c r="E15" s="12" t="s">
        <v>130</v>
      </c>
      <c r="F15" t="e">
        <f>IF((B15/B12)&gt;=0.25,"LINEA DE CREDITO INFERIOR A LO SOLICITADO, SE SUGIERE REALIZAR ENTREGA SUPERIOR O CODEUDOR","OK")</f>
        <v>#DIV/0!</v>
      </c>
    </row>
    <row r="16" spans="1:8" x14ac:dyDescent="0.3">
      <c r="A16" t="s">
        <v>129</v>
      </c>
      <c r="B16" s="18">
        <f>FORMULARIO!B10</f>
        <v>0</v>
      </c>
      <c r="C16" s="17">
        <v>15</v>
      </c>
      <c r="D16" s="12" t="str">
        <f>IF(ISBLANK(B16),"completar",IF(C16&gt;=B16,"OK","TITULAR POSEE CUENTAS ACTIVAS PENDIENTES DE PAGO, SOLICITAR QUE SE PONGA AL DIA"))</f>
        <v>OK</v>
      </c>
    </row>
    <row r="17" spans="1:7" x14ac:dyDescent="0.3">
      <c r="A17" s="7" t="s">
        <v>97</v>
      </c>
      <c r="B17" s="18">
        <v>0</v>
      </c>
      <c r="C17" s="12">
        <v>90</v>
      </c>
      <c r="D17" s="12" t="str">
        <f>IF(ISBLANK(B17),"completar",IF(B17&lt;=C17,"OK","DIAS DE ATRASO ELEVADO EN CUENTAS ACTIVAS, SOLICITAR CODEUDOR"))</f>
        <v>OK</v>
      </c>
      <c r="F17" t="s">
        <v>103</v>
      </c>
      <c r="G17" t="s">
        <v>105</v>
      </c>
    </row>
    <row r="18" spans="1:7" x14ac:dyDescent="0.3">
      <c r="A18" s="27" t="s">
        <v>83</v>
      </c>
      <c r="B18" s="28">
        <f>FORMULARIO!B16</f>
        <v>0</v>
      </c>
      <c r="C18" s="29"/>
      <c r="D18" s="30" t="str">
        <f ca="1">IF(B18="NO","OK",IF(AND(B19&lt;=C19,((TODAY()-B22)&lt;C22)),"OK",IF(AND(B19&gt;C19,B20&lt;=C20,B21&gt;=C21),"OK","CODEUDOR")))</f>
        <v>CODEUDOR</v>
      </c>
      <c r="E18" s="16"/>
      <c r="F18" t="s">
        <v>103</v>
      </c>
      <c r="G18" t="s">
        <v>31</v>
      </c>
    </row>
    <row r="19" spans="1:7" x14ac:dyDescent="0.3">
      <c r="A19" s="31" t="s">
        <v>84</v>
      </c>
      <c r="B19" s="32">
        <f>FORMULARIO!B17</f>
        <v>0</v>
      </c>
      <c r="C19" s="29">
        <v>0</v>
      </c>
      <c r="D19" s="29"/>
    </row>
    <row r="20" spans="1:7" x14ac:dyDescent="0.3">
      <c r="A20" s="31" t="s">
        <v>85</v>
      </c>
      <c r="B20" s="32">
        <f>FORMULARIO!B18</f>
        <v>0</v>
      </c>
      <c r="C20" s="29">
        <v>0</v>
      </c>
      <c r="D20" s="30"/>
      <c r="E20" s="16"/>
    </row>
    <row r="21" spans="1:7" x14ac:dyDescent="0.3">
      <c r="A21" s="31" t="s">
        <v>107</v>
      </c>
      <c r="B21" s="32">
        <f>FORMULARIO!B19</f>
        <v>0</v>
      </c>
      <c r="C21" s="29">
        <v>6</v>
      </c>
      <c r="D21" s="29"/>
      <c r="F21" t="s">
        <v>108</v>
      </c>
    </row>
    <row r="22" spans="1:7" x14ac:dyDescent="0.3">
      <c r="A22" s="31" t="s">
        <v>118</v>
      </c>
      <c r="B22" s="44">
        <f>FORMULARIO!B20</f>
        <v>0</v>
      </c>
      <c r="C22" s="29">
        <v>365</v>
      </c>
      <c r="D22" s="29"/>
    </row>
    <row r="23" spans="1:7" x14ac:dyDescent="0.3">
      <c r="A23" t="s">
        <v>15</v>
      </c>
      <c r="B23" s="18">
        <f>FORMULARIO!B22</f>
        <v>0</v>
      </c>
      <c r="C23" s="12" t="s">
        <v>77</v>
      </c>
      <c r="D23" s="12" t="e">
        <f>IF(ISBLANK(B23),"completar",IF(VLOOKUP(B23,otros!$A$11:$B$25,2,FALSE)=1,"OK","SOLICITAR CODEUDOR"))</f>
        <v>#N/A</v>
      </c>
      <c r="F23" t="s">
        <v>103</v>
      </c>
      <c r="G23" t="s">
        <v>106</v>
      </c>
    </row>
    <row r="24" spans="1:7" s="8" customFormat="1" x14ac:dyDescent="0.3">
      <c r="A24" s="34"/>
      <c r="B24" s="35"/>
      <c r="C24" s="26"/>
      <c r="D24" s="26"/>
      <c r="E24" s="26"/>
    </row>
    <row r="25" spans="1:7" x14ac:dyDescent="0.3">
      <c r="A25" s="1" t="s">
        <v>115</v>
      </c>
    </row>
    <row r="26" spans="1:7" x14ac:dyDescent="0.3">
      <c r="A26" t="s">
        <v>102</v>
      </c>
      <c r="B26" s="18">
        <f>FORMULARIO!B9</f>
        <v>0</v>
      </c>
      <c r="C26" s="17">
        <v>1000000</v>
      </c>
      <c r="D26" s="12" t="str">
        <f>IF(ISBLANK(B26),"completar",IF(B26&lt;=C26,"OK","NIVEL DE ENDEUDAMIENTO SUPERIOR AL MAXIMO, SOLICITAR CODEUDOR"))</f>
        <v>OK</v>
      </c>
      <c r="F26" t="s">
        <v>103</v>
      </c>
      <c r="G26" t="s">
        <v>105</v>
      </c>
    </row>
    <row r="27" spans="1:7" x14ac:dyDescent="0.3">
      <c r="A27" s="7" t="s">
        <v>120</v>
      </c>
      <c r="B27" s="18">
        <f>FORMULARIO!B10</f>
        <v>0</v>
      </c>
      <c r="C27" s="17">
        <v>10</v>
      </c>
      <c r="D27" s="12" t="str">
        <f>IF(ISBLANK(B27),"completar",IF(B27&lt;=C27,"OK","DIAS DE ATRASO ELEVADO EN CUENTAS ACTIVAS, SOLICITAR CODEUDOR"))</f>
        <v>OK</v>
      </c>
    </row>
    <row r="28" spans="1:7" x14ac:dyDescent="0.3">
      <c r="A28" s="7" t="s">
        <v>97</v>
      </c>
      <c r="B28" s="18">
        <f>FORMULARIO!B11</f>
        <v>0</v>
      </c>
      <c r="C28" s="12">
        <v>60</v>
      </c>
      <c r="D28" s="12" t="str">
        <f>IF(ISBLANK(B28),"completar",IF(B28&lt;=C28,"OK","DIAS DE ATRASO ELEVADO EN CUENTAS ACTIVAS, SOLICITAR CODEUDOR"))</f>
        <v>OK</v>
      </c>
      <c r="F28" t="s">
        <v>103</v>
      </c>
      <c r="G28" t="s">
        <v>105</v>
      </c>
    </row>
    <row r="29" spans="1:7" x14ac:dyDescent="0.3">
      <c r="A29" t="s">
        <v>98</v>
      </c>
      <c r="B29" s="18">
        <f>FORMULARIO!B13</f>
        <v>0</v>
      </c>
      <c r="C29" s="12">
        <v>1</v>
      </c>
      <c r="D29" s="12" t="str">
        <f>IF(ISBLANK(B29),"completar",IF(B29&gt;=C29,"OK","NO TIENE REFERENCIAS COMERCIALES (OPERACIONES CANCELADAS), SOLICITAR CODEUDOR"))</f>
        <v>NO TIENE REFERENCIAS COMERCIALES (OPERACIONES CANCELADAS), SOLICITAR CODEUDOR</v>
      </c>
      <c r="F29" t="s">
        <v>103</v>
      </c>
      <c r="G29" t="s">
        <v>105</v>
      </c>
    </row>
    <row r="30" spans="1:7" x14ac:dyDescent="0.3">
      <c r="A30" t="s">
        <v>99</v>
      </c>
      <c r="B30" s="18">
        <f>FORMULARIO!B13</f>
        <v>0</v>
      </c>
      <c r="C30" s="14">
        <v>0.8</v>
      </c>
      <c r="D30" s="12" t="str">
        <f>IF(ISBLANK(B30),"completar",IF(B30&gt;=B9*C30,"OK","CUOTAS ANTERIORES DE VALOR INFERIOR A LA SOLICITADA, SOLICITAR CODEUDOR"))</f>
        <v>OK</v>
      </c>
      <c r="F30" t="s">
        <v>103</v>
      </c>
      <c r="G30" t="s">
        <v>105</v>
      </c>
    </row>
    <row r="31" spans="1:7" x14ac:dyDescent="0.3">
      <c r="B31" s="36">
        <f ca="1">TODAY()-B32</f>
        <v>43722</v>
      </c>
      <c r="C31" s="17">
        <f>18*30</f>
        <v>540</v>
      </c>
      <c r="D31" s="12" t="str">
        <f ca="1">IF(C31&gt;=B31,"OK","NO TIENE SUFICIENTES REFERENCIAS COMERCIALES ACTUALES, SOLICITAR CODEUDOR")</f>
        <v>NO TIENE SUFICIENTES REFERENCIAS COMERCIALES ACTUALES, SOLICITAR CODEUDOR</v>
      </c>
    </row>
    <row r="32" spans="1:7" x14ac:dyDescent="0.3">
      <c r="A32" t="s">
        <v>133</v>
      </c>
      <c r="B32" s="39">
        <f>FORMULARIO!B14</f>
        <v>0</v>
      </c>
      <c r="C32" s="17"/>
    </row>
    <row r="33" spans="1:7" x14ac:dyDescent="0.3">
      <c r="A33" s="27" t="s">
        <v>83</v>
      </c>
      <c r="B33" s="28">
        <f>FORMULARIO!B16</f>
        <v>0</v>
      </c>
      <c r="C33" s="29"/>
      <c r="D33" s="30" t="str">
        <f ca="1">IF(B33="NO","OK",IF(AND(B34&lt;=C34,((TODAY()-B37)&lt;C37)),"OK",IF(AND(B34&gt;C34,B35&lt;=C35,B36&gt;=C36),"OK","CODEUDOR")))</f>
        <v>CODEUDOR</v>
      </c>
      <c r="E33" s="16"/>
      <c r="F33" t="s">
        <v>103</v>
      </c>
      <c r="G33" t="s">
        <v>31</v>
      </c>
    </row>
    <row r="34" spans="1:7" x14ac:dyDescent="0.3">
      <c r="A34" s="31" t="s">
        <v>84</v>
      </c>
      <c r="B34" s="32">
        <f>FORMULARIO!B17</f>
        <v>0</v>
      </c>
      <c r="C34" s="29">
        <v>0</v>
      </c>
      <c r="D34" s="29"/>
    </row>
    <row r="35" spans="1:7" x14ac:dyDescent="0.3">
      <c r="A35" s="31" t="s">
        <v>85</v>
      </c>
      <c r="B35" s="32">
        <f>FORMULARIO!B18</f>
        <v>0</v>
      </c>
      <c r="C35" s="29">
        <v>0</v>
      </c>
      <c r="D35" s="30"/>
      <c r="E35" s="16"/>
    </row>
    <row r="36" spans="1:7" x14ac:dyDescent="0.3">
      <c r="A36" s="31" t="s">
        <v>107</v>
      </c>
      <c r="B36" s="32">
        <f>FORMULARIO!B19</f>
        <v>0</v>
      </c>
      <c r="C36" s="29">
        <v>6</v>
      </c>
      <c r="D36" s="29"/>
      <c r="F36" t="s">
        <v>108</v>
      </c>
    </row>
    <row r="37" spans="1:7" x14ac:dyDescent="0.3">
      <c r="A37" s="31" t="s">
        <v>118</v>
      </c>
      <c r="B37" s="44">
        <f>FORMULARIO!B20</f>
        <v>0</v>
      </c>
      <c r="C37" s="29">
        <v>365</v>
      </c>
      <c r="D37" s="29"/>
    </row>
    <row r="38" spans="1:7" x14ac:dyDescent="0.3">
      <c r="A38" s="31"/>
      <c r="C38" s="29"/>
      <c r="D38" s="29"/>
    </row>
    <row r="39" spans="1:7" x14ac:dyDescent="0.3">
      <c r="A39" t="s">
        <v>15</v>
      </c>
      <c r="B39" s="18">
        <f>FORMULARIO!B22</f>
        <v>0</v>
      </c>
      <c r="C39" s="12" t="s">
        <v>90</v>
      </c>
      <c r="D39" s="12" t="e">
        <f>IF(ISBLANK(B39),"completar",IF(VLOOKUP(B39,otros!$A$11:$B$25,2,FALSE)=1,"OK","SOLICITAR CODEUDOR"))</f>
        <v>#N/A</v>
      </c>
      <c r="F39" t="s">
        <v>103</v>
      </c>
      <c r="G39" t="s">
        <v>106</v>
      </c>
    </row>
    <row r="41" spans="1:7" x14ac:dyDescent="0.3">
      <c r="D41" s="12" t="b">
        <f>IF(D2="CONDICIONADO",IF(B8="SIN IPS",IF(OR(D26,D27,D28,D29,D30,D31,D33,D39)="OK","OK","")))</f>
        <v>0</v>
      </c>
    </row>
    <row r="42" spans="1:7" x14ac:dyDescent="0.3">
      <c r="B42" s="37"/>
    </row>
    <row r="43" spans="1:7" x14ac:dyDescent="0.3">
      <c r="B43" s="37"/>
    </row>
  </sheetData>
  <conditionalFormatting sqref="D39 D4:D17 D24:D32">
    <cfRule type="containsText" dxfId="20" priority="15" operator="containsText" text="CODEUDOR">
      <formula>NOT(ISERROR(SEARCH("CODEUDOR",D4)))</formula>
    </cfRule>
    <cfRule type="containsText" dxfId="19" priority="16" operator="containsText" text="RECHAZO">
      <formula>NOT(ISERROR(SEARCH("RECHAZO",D4)))</formula>
    </cfRule>
    <cfRule type="containsText" dxfId="18" priority="17" operator="containsText" text="OK">
      <formula>NOT(ISERROR(SEARCH("OK",D4)))</formula>
    </cfRule>
  </conditionalFormatting>
  <conditionalFormatting sqref="D33:D39">
    <cfRule type="containsText" dxfId="17" priority="12" operator="containsText" text="CODEUDOR">
      <formula>NOT(ISERROR(SEARCH("CODEUDOR",D33)))</formula>
    </cfRule>
    <cfRule type="containsText" dxfId="16" priority="13" operator="containsText" text="RECHAZO">
      <formula>NOT(ISERROR(SEARCH("RECHAZO",D33)))</formula>
    </cfRule>
    <cfRule type="containsText" dxfId="15" priority="14" operator="containsText" text="OK">
      <formula>NOT(ISERROR(SEARCH("OK",D33)))</formula>
    </cfRule>
  </conditionalFormatting>
  <conditionalFormatting sqref="D18:D22">
    <cfRule type="containsText" dxfId="14" priority="9" operator="containsText" text="CODEUDOR">
      <formula>NOT(ISERROR(SEARCH("CODEUDOR",D18)))</formula>
    </cfRule>
    <cfRule type="containsText" dxfId="13" priority="10" operator="containsText" text="RECHAZO">
      <formula>NOT(ISERROR(SEARCH("RECHAZO",D18)))</formula>
    </cfRule>
    <cfRule type="containsText" dxfId="12" priority="11" operator="containsText" text="OK">
      <formula>NOT(ISERROR(SEARCH("OK",D18)))</formula>
    </cfRule>
  </conditionalFormatting>
  <conditionalFormatting sqref="D23">
    <cfRule type="containsText" dxfId="11" priority="6" operator="containsText" text="CODEUDOR">
      <formula>NOT(ISERROR(SEARCH("CODEUDOR",D23)))</formula>
    </cfRule>
    <cfRule type="containsText" dxfId="10" priority="7" operator="containsText" text="RECHAZO">
      <formula>NOT(ISERROR(SEARCH("RECHAZO",D23)))</formula>
    </cfRule>
    <cfRule type="containsText" dxfId="9" priority="8" operator="containsText" text="OK">
      <formula>NOT(ISERROR(SEARCH("OK",D23)))</formula>
    </cfRule>
  </conditionalFormatting>
  <conditionalFormatting sqref="D23">
    <cfRule type="containsText" dxfId="8" priority="3" operator="containsText" text="CODEUDOR">
      <formula>NOT(ISERROR(SEARCH("CODEUDOR",D23)))</formula>
    </cfRule>
    <cfRule type="containsText" dxfId="7" priority="4" operator="containsText" text="RECHAZO">
      <formula>NOT(ISERROR(SEARCH("RECHAZO",D23)))</formula>
    </cfRule>
    <cfRule type="containsText" dxfId="6" priority="5" operator="containsText" text="OK">
      <formula>NOT(ISERROR(SEARCH("OK",D23)))</formula>
    </cfRule>
  </conditionalFormatting>
  <conditionalFormatting sqref="D2">
    <cfRule type="containsText" dxfId="5" priority="1" operator="containsText" text="CONDICIONADO">
      <formula>NOT(ISERROR(SEARCH("CONDICIONADO",D2)))</formula>
    </cfRule>
    <cfRule type="containsText" dxfId="4" priority="2" operator="containsText" text="APROBADO">
      <formula>NOT(ISERROR(SEARCH("APROBADO",D2)))</formula>
    </cfRule>
  </conditionalFormatting>
  <dataValidations disablePrompts="1" count="6">
    <dataValidation type="decimal" allowBlank="1" showInputMessage="1" showErrorMessage="1" sqref="B4:B5" xr:uid="{1DE92233-E811-4AFB-BC27-772C8CA41FBA}">
      <formula1>0</formula1>
      <formula2>100</formula2>
    </dataValidation>
    <dataValidation type="decimal" allowBlank="1" showInputMessage="1" showErrorMessage="1" sqref="B7" xr:uid="{65E731D5-F493-400B-AD52-B6CC2B2B53F7}">
      <formula1>0</formula1>
      <formula2>1</formula2>
    </dataValidation>
    <dataValidation type="whole" allowBlank="1" showInputMessage="1" showErrorMessage="1" sqref="B9" xr:uid="{9A87F55A-D43E-4556-BC26-B95C0390EEEA}">
      <formula1>0</formula1>
      <formula2>2000000</formula2>
    </dataValidation>
    <dataValidation type="whole" allowBlank="1" showInputMessage="1" showErrorMessage="1" sqref="B13" xr:uid="{7EB9E90F-74B3-48C6-9E40-39BB07EF0CCC}">
      <formula1>0</formula1>
      <formula2>800</formula2>
    </dataValidation>
    <dataValidation type="whole" allowBlank="1" showInputMessage="1" showErrorMessage="1" sqref="B34 B14:B16 B12 B26:B27 B19" xr:uid="{DA262B2C-6B6D-40C0-9A97-B3566604EE7E}">
      <formula1>0</formula1>
      <formula2>100000000</formula2>
    </dataValidation>
    <dataValidation type="whole" allowBlank="1" showInputMessage="1" showErrorMessage="1" sqref="B35 B17 B28:B29 B20" xr:uid="{92593314-A61E-49AF-A285-B8D3C2736EDC}">
      <formula1>0</formula1>
      <formula2>3000</formula2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3:I33"/>
  <sheetViews>
    <sheetView zoomScale="118" zoomScaleNormal="145" workbookViewId="0">
      <selection activeCell="C7" sqref="C7"/>
    </sheetView>
  </sheetViews>
  <sheetFormatPr baseColWidth="10" defaultRowHeight="14.4" x14ac:dyDescent="0.3"/>
  <cols>
    <col min="1" max="1" width="19.44140625" customWidth="1"/>
    <col min="2" max="2" width="7" bestFit="1" customWidth="1"/>
    <col min="3" max="3" width="74.109375" customWidth="1"/>
    <col min="4" max="4" width="20.44140625" customWidth="1"/>
    <col min="5" max="5" width="10" bestFit="1" customWidth="1"/>
    <col min="6" max="6" width="21.109375" bestFit="1" customWidth="1"/>
    <col min="7" max="7" width="12.88671875" bestFit="1" customWidth="1"/>
    <col min="8" max="8" width="63.33203125" bestFit="1" customWidth="1"/>
    <col min="9" max="9" width="6.6640625" style="4" bestFit="1" customWidth="1"/>
  </cols>
  <sheetData>
    <row r="3" spans="1:9" x14ac:dyDescent="0.3">
      <c r="A3" s="2" t="s">
        <v>11</v>
      </c>
      <c r="B3" s="2" t="s">
        <v>16</v>
      </c>
      <c r="C3" s="2" t="s">
        <v>35</v>
      </c>
      <c r="D3" s="2" t="s">
        <v>26</v>
      </c>
      <c r="E3" s="2" t="s">
        <v>20</v>
      </c>
      <c r="F3" s="2" t="s">
        <v>19</v>
      </c>
      <c r="G3" s="2" t="s">
        <v>7</v>
      </c>
      <c r="H3" s="2" t="s">
        <v>22</v>
      </c>
      <c r="I3" s="5" t="s">
        <v>23</v>
      </c>
    </row>
    <row r="4" spans="1:9" x14ac:dyDescent="0.3">
      <c r="A4" t="s">
        <v>13</v>
      </c>
      <c r="B4" s="7">
        <v>1</v>
      </c>
      <c r="C4" t="s">
        <v>0</v>
      </c>
      <c r="D4" t="s">
        <v>3</v>
      </c>
      <c r="E4" t="s">
        <v>21</v>
      </c>
      <c r="F4" s="3" t="s">
        <v>21</v>
      </c>
      <c r="G4" t="s">
        <v>4</v>
      </c>
      <c r="H4" t="s">
        <v>24</v>
      </c>
      <c r="I4" s="4">
        <v>0</v>
      </c>
    </row>
    <row r="5" spans="1:9" x14ac:dyDescent="0.3">
      <c r="A5" t="s">
        <v>13</v>
      </c>
      <c r="B5" s="7">
        <v>2</v>
      </c>
      <c r="C5" t="s">
        <v>49</v>
      </c>
      <c r="D5" t="s">
        <v>6</v>
      </c>
      <c r="E5" t="s">
        <v>21</v>
      </c>
      <c r="F5" t="s">
        <v>21</v>
      </c>
      <c r="G5" t="s">
        <v>5</v>
      </c>
      <c r="H5" t="s">
        <v>48</v>
      </c>
      <c r="I5" s="4">
        <v>1700</v>
      </c>
    </row>
    <row r="6" spans="1:9" x14ac:dyDescent="0.3">
      <c r="A6" t="s">
        <v>14</v>
      </c>
      <c r="B6" s="7">
        <v>3</v>
      </c>
      <c r="C6" t="s">
        <v>8</v>
      </c>
      <c r="D6" t="s">
        <v>9</v>
      </c>
      <c r="E6" t="s">
        <v>21</v>
      </c>
      <c r="F6" t="s">
        <v>10</v>
      </c>
      <c r="G6" t="s">
        <v>21</v>
      </c>
      <c r="H6" t="s">
        <v>21</v>
      </c>
      <c r="I6" s="4">
        <v>0</v>
      </c>
    </row>
    <row r="7" spans="1:9" x14ac:dyDescent="0.3">
      <c r="A7" t="s">
        <v>14</v>
      </c>
      <c r="B7" s="7">
        <v>4</v>
      </c>
      <c r="C7" s="8" t="s">
        <v>32</v>
      </c>
      <c r="D7" t="s">
        <v>33</v>
      </c>
      <c r="E7" t="s">
        <v>21</v>
      </c>
      <c r="F7" t="s">
        <v>1</v>
      </c>
      <c r="H7" t="s">
        <v>34</v>
      </c>
      <c r="I7" s="4" t="s">
        <v>50</v>
      </c>
    </row>
    <row r="8" spans="1:9" x14ac:dyDescent="0.3">
      <c r="A8" t="s">
        <v>14</v>
      </c>
      <c r="B8" s="6">
        <v>4.0999999999999996</v>
      </c>
      <c r="C8" s="6" t="s">
        <v>36</v>
      </c>
      <c r="D8" t="s">
        <v>51</v>
      </c>
      <c r="E8" t="s">
        <v>21</v>
      </c>
      <c r="F8" t="s">
        <v>30</v>
      </c>
      <c r="G8" t="s">
        <v>21</v>
      </c>
      <c r="H8" t="s">
        <v>31</v>
      </c>
    </row>
    <row r="9" spans="1:9" x14ac:dyDescent="0.3">
      <c r="A9" t="s">
        <v>14</v>
      </c>
      <c r="B9" s="6">
        <v>4.2</v>
      </c>
      <c r="C9" s="6" t="s">
        <v>37</v>
      </c>
      <c r="D9" t="s">
        <v>28</v>
      </c>
      <c r="E9" t="s">
        <v>21</v>
      </c>
      <c r="F9" t="s">
        <v>29</v>
      </c>
      <c r="H9" t="s">
        <v>31</v>
      </c>
    </row>
    <row r="10" spans="1:9" x14ac:dyDescent="0.3">
      <c r="A10" t="s">
        <v>14</v>
      </c>
      <c r="B10" s="6">
        <v>4.3</v>
      </c>
      <c r="C10" s="6" t="s">
        <v>38</v>
      </c>
      <c r="D10" t="s">
        <v>33</v>
      </c>
      <c r="E10" t="s">
        <v>1</v>
      </c>
      <c r="H10" t="s">
        <v>34</v>
      </c>
    </row>
    <row r="11" spans="1:9" x14ac:dyDescent="0.3">
      <c r="A11" t="s">
        <v>14</v>
      </c>
      <c r="B11" s="6">
        <v>4.4000000000000004</v>
      </c>
      <c r="C11" s="6" t="s">
        <v>39</v>
      </c>
      <c r="D11" t="s">
        <v>33</v>
      </c>
      <c r="E11" t="s">
        <v>1</v>
      </c>
      <c r="H11" t="s">
        <v>34</v>
      </c>
    </row>
    <row r="12" spans="1:9" x14ac:dyDescent="0.3">
      <c r="A12" t="s">
        <v>14</v>
      </c>
      <c r="B12" s="7">
        <v>5</v>
      </c>
      <c r="C12" t="s">
        <v>15</v>
      </c>
      <c r="D12" t="s">
        <v>17</v>
      </c>
      <c r="F12" t="s">
        <v>57</v>
      </c>
      <c r="G12" t="s">
        <v>21</v>
      </c>
      <c r="H12" t="s">
        <v>18</v>
      </c>
      <c r="I12" s="4">
        <v>3000</v>
      </c>
    </row>
    <row r="13" spans="1:9" x14ac:dyDescent="0.3">
      <c r="A13" t="s">
        <v>14</v>
      </c>
      <c r="B13" s="6">
        <v>5.0999999999999996</v>
      </c>
      <c r="C13" s="7" t="s">
        <v>62</v>
      </c>
      <c r="D13" t="s">
        <v>33</v>
      </c>
      <c r="E13" t="s">
        <v>1</v>
      </c>
    </row>
    <row r="14" spans="1:9" x14ac:dyDescent="0.3">
      <c r="A14" t="s">
        <v>14</v>
      </c>
      <c r="B14" s="7">
        <v>6</v>
      </c>
      <c r="C14" t="s">
        <v>25</v>
      </c>
      <c r="D14" t="s">
        <v>21</v>
      </c>
      <c r="E14" t="s">
        <v>21</v>
      </c>
      <c r="F14" t="s">
        <v>2</v>
      </c>
      <c r="G14" t="s">
        <v>21</v>
      </c>
      <c r="H14" t="s">
        <v>18</v>
      </c>
    </row>
    <row r="15" spans="1:9" x14ac:dyDescent="0.3">
      <c r="A15" t="s">
        <v>14</v>
      </c>
      <c r="B15" s="7">
        <v>7</v>
      </c>
      <c r="C15" t="s">
        <v>63</v>
      </c>
      <c r="D15" t="s">
        <v>21</v>
      </c>
      <c r="E15" t="s">
        <v>2</v>
      </c>
      <c r="F15" t="s">
        <v>21</v>
      </c>
      <c r="G15" t="s">
        <v>21</v>
      </c>
      <c r="H15" t="s">
        <v>27</v>
      </c>
      <c r="I15" s="4">
        <v>2000</v>
      </c>
    </row>
    <row r="16" spans="1:9" x14ac:dyDescent="0.3">
      <c r="A16" t="s">
        <v>12</v>
      </c>
      <c r="B16" s="7">
        <v>8</v>
      </c>
      <c r="C16" t="s">
        <v>40</v>
      </c>
      <c r="D16" t="s">
        <v>33</v>
      </c>
      <c r="E16" t="s">
        <v>1</v>
      </c>
      <c r="H16" t="s">
        <v>42</v>
      </c>
    </row>
    <row r="17" spans="1:8" x14ac:dyDescent="0.3">
      <c r="A17" t="s">
        <v>12</v>
      </c>
      <c r="B17" s="6">
        <v>8.1</v>
      </c>
      <c r="C17" t="s">
        <v>41</v>
      </c>
      <c r="D17" t="s">
        <v>33</v>
      </c>
      <c r="E17" t="s">
        <v>21</v>
      </c>
      <c r="F17" t="s">
        <v>1</v>
      </c>
      <c r="H17" t="s">
        <v>42</v>
      </c>
    </row>
    <row r="18" spans="1:8" x14ac:dyDescent="0.3">
      <c r="A18" t="s">
        <v>12</v>
      </c>
      <c r="B18" s="7">
        <v>9</v>
      </c>
      <c r="C18" t="s">
        <v>52</v>
      </c>
      <c r="D18" t="s">
        <v>21</v>
      </c>
      <c r="E18" t="s">
        <v>2</v>
      </c>
      <c r="F18" t="s">
        <v>1</v>
      </c>
      <c r="H18" t="s">
        <v>46</v>
      </c>
    </row>
    <row r="19" spans="1:8" x14ac:dyDescent="0.3">
      <c r="A19" t="s">
        <v>12</v>
      </c>
      <c r="B19" s="6">
        <v>9.1</v>
      </c>
      <c r="C19" t="s">
        <v>45</v>
      </c>
      <c r="E19" t="s">
        <v>2</v>
      </c>
      <c r="F19" t="s">
        <v>1</v>
      </c>
      <c r="H19" t="s">
        <v>46</v>
      </c>
    </row>
    <row r="20" spans="1:8" x14ac:dyDescent="0.3">
      <c r="A20" t="s">
        <v>12</v>
      </c>
      <c r="B20" s="6">
        <v>9.1999999999999993</v>
      </c>
      <c r="C20" t="s">
        <v>41</v>
      </c>
      <c r="E20" t="s">
        <v>2</v>
      </c>
      <c r="F20" t="s">
        <v>1</v>
      </c>
      <c r="G20" t="s">
        <v>21</v>
      </c>
      <c r="H20" t="s">
        <v>46</v>
      </c>
    </row>
    <row r="21" spans="1:8" x14ac:dyDescent="0.3">
      <c r="A21" t="s">
        <v>12</v>
      </c>
      <c r="B21" s="6">
        <v>9.3000000000000007</v>
      </c>
      <c r="C21" t="s">
        <v>43</v>
      </c>
      <c r="E21" t="s">
        <v>2</v>
      </c>
      <c r="F21" t="s">
        <v>1</v>
      </c>
      <c r="H21" t="s">
        <v>47</v>
      </c>
    </row>
    <row r="22" spans="1:8" x14ac:dyDescent="0.3">
      <c r="A22" t="s">
        <v>12</v>
      </c>
      <c r="B22" s="6">
        <v>9.4</v>
      </c>
      <c r="C22" t="s">
        <v>44</v>
      </c>
      <c r="E22" t="s">
        <v>2</v>
      </c>
      <c r="F22" t="s">
        <v>1</v>
      </c>
      <c r="H22" t="s">
        <v>47</v>
      </c>
    </row>
    <row r="23" spans="1:8" x14ac:dyDescent="0.3">
      <c r="A23" t="s">
        <v>12</v>
      </c>
      <c r="B23" s="7">
        <v>10</v>
      </c>
      <c r="C23" t="s">
        <v>61</v>
      </c>
      <c r="D23" t="s">
        <v>33</v>
      </c>
      <c r="E23" t="s">
        <v>1</v>
      </c>
      <c r="F23" t="s">
        <v>21</v>
      </c>
      <c r="H23" t="s">
        <v>34</v>
      </c>
    </row>
    <row r="27" spans="1:8" x14ac:dyDescent="0.3">
      <c r="A27" t="s">
        <v>53</v>
      </c>
    </row>
    <row r="28" spans="1:8" x14ac:dyDescent="0.3">
      <c r="A28" t="s">
        <v>54</v>
      </c>
      <c r="D28" s="4"/>
    </row>
    <row r="29" spans="1:8" x14ac:dyDescent="0.3">
      <c r="A29" t="s">
        <v>55</v>
      </c>
    </row>
    <row r="30" spans="1:8" x14ac:dyDescent="0.3">
      <c r="A30" t="s">
        <v>56</v>
      </c>
    </row>
    <row r="31" spans="1:8" x14ac:dyDescent="0.3">
      <c r="A31" t="s">
        <v>58</v>
      </c>
    </row>
    <row r="32" spans="1:8" x14ac:dyDescent="0.3">
      <c r="A32" t="s">
        <v>60</v>
      </c>
    </row>
    <row r="33" spans="1:1" x14ac:dyDescent="0.3">
      <c r="A33" t="s">
        <v>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D25"/>
  <sheetViews>
    <sheetView workbookViewId="0">
      <selection activeCell="D6" sqref="D6"/>
    </sheetView>
  </sheetViews>
  <sheetFormatPr baseColWidth="10" defaultRowHeight="14.4" x14ac:dyDescent="0.3"/>
  <cols>
    <col min="1" max="1" width="20.88671875" bestFit="1" customWidth="1"/>
  </cols>
  <sheetData>
    <row r="1" spans="1:4" x14ac:dyDescent="0.3">
      <c r="A1" s="1" t="s">
        <v>66</v>
      </c>
      <c r="C1" t="s">
        <v>100</v>
      </c>
    </row>
    <row r="2" spans="1:4" x14ac:dyDescent="0.3">
      <c r="A2" t="s">
        <v>67</v>
      </c>
      <c r="C2" t="s">
        <v>2</v>
      </c>
    </row>
    <row r="3" spans="1:4" x14ac:dyDescent="0.3">
      <c r="A3" t="s">
        <v>68</v>
      </c>
      <c r="C3" t="s">
        <v>1</v>
      </c>
    </row>
    <row r="4" spans="1:4" x14ac:dyDescent="0.3">
      <c r="A4" t="s">
        <v>122</v>
      </c>
    </row>
    <row r="5" spans="1:4" x14ac:dyDescent="0.3">
      <c r="A5" t="s">
        <v>123</v>
      </c>
    </row>
    <row r="6" spans="1:4" x14ac:dyDescent="0.3">
      <c r="A6" s="1" t="s">
        <v>71</v>
      </c>
      <c r="D6">
        <f>FORMULARIO!B34</f>
        <v>0</v>
      </c>
    </row>
    <row r="7" spans="1:4" x14ac:dyDescent="0.3">
      <c r="A7" t="s">
        <v>69</v>
      </c>
    </row>
    <row r="8" spans="1:4" x14ac:dyDescent="0.3">
      <c r="A8" t="s">
        <v>72</v>
      </c>
    </row>
    <row r="10" spans="1:4" x14ac:dyDescent="0.3">
      <c r="A10" s="1" t="s">
        <v>15</v>
      </c>
    </row>
    <row r="11" spans="1:4" x14ac:dyDescent="0.3">
      <c r="A11" t="s">
        <v>79</v>
      </c>
      <c r="B11">
        <v>1</v>
      </c>
    </row>
    <row r="12" spans="1:4" x14ac:dyDescent="0.3">
      <c r="A12" t="s">
        <v>80</v>
      </c>
      <c r="B12">
        <v>1</v>
      </c>
    </row>
    <row r="13" spans="1:4" x14ac:dyDescent="0.3">
      <c r="A13" t="s">
        <v>87</v>
      </c>
      <c r="B13">
        <v>1</v>
      </c>
    </row>
    <row r="14" spans="1:4" x14ac:dyDescent="0.3">
      <c r="A14" t="s">
        <v>88</v>
      </c>
      <c r="B14">
        <v>1</v>
      </c>
    </row>
    <row r="15" spans="1:4" x14ac:dyDescent="0.3">
      <c r="A15" t="s">
        <v>82</v>
      </c>
      <c r="B15">
        <v>1</v>
      </c>
    </row>
    <row r="16" spans="1:4" x14ac:dyDescent="0.3">
      <c r="A16" t="s">
        <v>75</v>
      </c>
      <c r="B16">
        <v>1</v>
      </c>
    </row>
    <row r="17" spans="1:2" x14ac:dyDescent="0.3">
      <c r="A17" t="s">
        <v>89</v>
      </c>
      <c r="B17">
        <v>1</v>
      </c>
    </row>
    <row r="18" spans="1:2" x14ac:dyDescent="0.3">
      <c r="A18" t="s">
        <v>90</v>
      </c>
      <c r="B18">
        <v>1</v>
      </c>
    </row>
    <row r="19" spans="1:2" x14ac:dyDescent="0.3">
      <c r="A19" t="s">
        <v>91</v>
      </c>
      <c r="B19">
        <v>2</v>
      </c>
    </row>
    <row r="20" spans="1:2" x14ac:dyDescent="0.3">
      <c r="A20" t="s">
        <v>92</v>
      </c>
      <c r="B20">
        <v>2</v>
      </c>
    </row>
    <row r="21" spans="1:2" x14ac:dyDescent="0.3">
      <c r="A21" t="s">
        <v>93</v>
      </c>
      <c r="B21">
        <v>2</v>
      </c>
    </row>
    <row r="22" spans="1:2" x14ac:dyDescent="0.3">
      <c r="A22" t="s">
        <v>94</v>
      </c>
      <c r="B22">
        <v>2</v>
      </c>
    </row>
    <row r="23" spans="1:2" x14ac:dyDescent="0.3">
      <c r="A23" t="s">
        <v>77</v>
      </c>
      <c r="B23">
        <v>2</v>
      </c>
    </row>
    <row r="24" spans="1:2" x14ac:dyDescent="0.3">
      <c r="A24" t="s">
        <v>81</v>
      </c>
      <c r="B24">
        <v>2</v>
      </c>
    </row>
    <row r="25" spans="1:2" x14ac:dyDescent="0.3">
      <c r="A25" t="s">
        <v>78</v>
      </c>
      <c r="B25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FORMULARIO</vt:lpstr>
      <vt:lpstr>MOTOR</vt:lpstr>
      <vt:lpstr>VARIABLES</vt:lpstr>
      <vt:lpstr>otros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Alicia Samaniego</dc:creator>
  <cp:lastModifiedBy>Alicia Samaniego</cp:lastModifiedBy>
  <dcterms:created xsi:type="dcterms:W3CDTF">2019-08-28T13:58:15Z</dcterms:created>
  <dcterms:modified xsi:type="dcterms:W3CDTF">2019-09-14T15:02:21Z</dcterms:modified>
</cp:coreProperties>
</file>